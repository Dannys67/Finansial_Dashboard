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ранзакции" sheetId="1" r:id="rId4"/>
    <sheet state="visible" name="сводки" sheetId="2" r:id="rId5"/>
    <sheet state="visible" name="дашборд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<sst xmlns="http://schemas.openxmlformats.org/spreadsheetml/2006/main" count="78" uniqueCount="19">
  <si>
    <t>Дата</t>
  </si>
  <si>
    <t>Категория</t>
  </si>
  <si>
    <t>Сумма</t>
  </si>
  <si>
    <t>Тип</t>
  </si>
  <si>
    <t>Комментарий</t>
  </si>
  <si>
    <t>Инвестиции</t>
  </si>
  <si>
    <t>Доход</t>
  </si>
  <si>
    <t>Транспорт</t>
  </si>
  <si>
    <t>Расход</t>
  </si>
  <si>
    <t>Еда</t>
  </si>
  <si>
    <t>Покупки</t>
  </si>
  <si>
    <t>Онлайн-покупки</t>
  </si>
  <si>
    <t>SUM из Сумма</t>
  </si>
  <si>
    <t>Итого</t>
  </si>
  <si>
    <t>Общий баланс</t>
  </si>
  <si>
    <t>Расходы за период</t>
  </si>
  <si>
    <t>Доходы</t>
  </si>
  <si>
    <t>Топ категория расхода</t>
  </si>
  <si>
    <t>% расходов на топ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</si>
</sst>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4" xfId="0" applyFont="1" applyNumberFormat="1"/>
    <xf borderId="0" fillId="0" fontId="1" numFmtId="49" xfId="0" applyFont="1" applyNumberFormat="1"/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1" sheet="транзакции"/>
  </cacheSource>
  <cacheFields>
    <cacheField name="Дата" numFmtId="14">
      <sharedItems containsSemiMixedTypes="0" containsDate="1" containsString="0">
        <d v="2025-12-16T00:00:00Z"/>
        <d v="2026-01-02T00:00:00Z"/>
        <d v="2025-12-30T00:00:00Z"/>
        <d v="2025-12-10T00:00:00Z"/>
        <d v="2025-12-27T00:00:00Z"/>
        <d v="2025-12-31T00:00:00Z"/>
        <d v="2025-12-08T00:00:00Z"/>
        <d v="2025-12-13T00:00:00Z"/>
        <d v="2025-12-12T00:00:00Z"/>
        <d v="2026-01-05T00:00:00Z"/>
        <d v="2025-12-23T00:00:00Z"/>
        <d v="2025-12-24T00:00:00Z"/>
        <d v="2025-12-06T00:00:00Z"/>
        <d v="2025-12-22T00:00:00Z"/>
        <d v="2025-12-19T00:00:00Z"/>
        <d v="2025-12-29T00:00:00Z"/>
        <d v="2025-12-25T00:00:00Z"/>
        <d v="2026-01-03T00:00:00Z"/>
      </sharedItems>
    </cacheField>
    <cacheField name="Категория" numFmtId="0">
      <sharedItems>
        <s v="Инвестиции"/>
        <s v="Транспорт"/>
        <s v="Еда"/>
        <s v="Покупки"/>
        <s v="Онлайн-покупки"/>
      </sharedItems>
    </cacheField>
    <cacheField name="Сумма" numFmtId="0">
      <sharedItems containsSemiMixedTypes="0" containsString="0" containsNumber="1" containsInteger="1">
        <n v="135.0"/>
        <n v="-452.0"/>
        <n v="-754.0"/>
        <n v="-7244.0"/>
        <n v="-1763.0"/>
        <n v="-546.0"/>
        <n v="-376.0"/>
        <n v="-182.0"/>
        <n v="-8237.0"/>
        <n v="-7634.0"/>
        <n v="-253.0"/>
        <n v="-377.0"/>
        <n v="-1828.0"/>
        <n v="-347.0"/>
        <n v="347.0"/>
        <n v="-374.0"/>
        <n v="-2998.0"/>
        <n v="-7373.0"/>
        <n v="-476.0"/>
        <n v="1789.0"/>
        <n v="-7374.0"/>
        <n v="-477.0"/>
        <n v="-2282.0"/>
        <n v="-234.0"/>
        <n v="-527.0"/>
        <n v="144.0"/>
        <n v="-1398.0"/>
        <n v="-257.0"/>
        <n v="-73.0"/>
        <n v="-364.0"/>
      </sharedItems>
    </cacheField>
    <cacheField name="Тип" numFmtId="49">
      <sharedItems>
        <s v="Доход"/>
        <s v="Расход"/>
      </sharedItems>
    </cacheField>
    <cacheField name="Комментарий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ки" cacheId="0" dataCaption="" compact="0" compactData="0">
  <location ref="A3:B9" firstHeaderRow="0" firstDataRow="1" firstDataCol="0" rowPageCount="1" colPageCount="1"/>
  <pivotFields>
    <pivotField name="Дата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Категория" axis="axisRow" compact="0" outline="0" multipleItemSelectionAllowed="1" showAll="0" sortType="descending">
      <items>
        <item x="1"/>
        <item x="3"/>
        <item x="4"/>
        <item x="0"/>
        <item x="2"/>
        <item t="default"/>
      </items>
    </pivotField>
    <pivotField name="Сумма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Тип" axis="axisPage" compact="0" numFmtId="49" outline="0" multipleItemSelectionAllowed="1" showAll="0">
      <items>
        <item x="0"/>
        <item x="1"/>
        <item t="default"/>
      </items>
    </pivotField>
    <pivotField name="Комментарий" compact="0" outline="0" multipleItemSelectionAllowed="1" showAll="0">
      <items>
        <item x="0"/>
        <item t="default"/>
      </items>
    </pivotField>
  </pivotFields>
  <rowFields>
    <field x="1"/>
  </rowFields>
  <pageFields>
    <pageField fld="3"/>
  </pageFields>
  <dataFields>
    <dataField name="SUM of Сумма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f t="shared" ref="A2:A31" si="1">TODAY()-RANDBETWEEN(1,31)</f>
        <v>46007</v>
      </c>
      <c r="B2" s="1" t="s">
        <v>5</v>
      </c>
      <c r="C2" s="1">
        <v>135.0</v>
      </c>
      <c r="D2" s="2" t="s">
        <v>6</v>
      </c>
    </row>
    <row r="3">
      <c r="A3" s="3">
        <f t="shared" si="1"/>
        <v>46024</v>
      </c>
      <c r="B3" s="1" t="s">
        <v>7</v>
      </c>
      <c r="C3" s="1">
        <v>-452.0</v>
      </c>
      <c r="D3" s="2" t="s">
        <v>8</v>
      </c>
    </row>
    <row r="4">
      <c r="A4" s="3">
        <f t="shared" si="1"/>
        <v>46021</v>
      </c>
      <c r="B4" s="1" t="s">
        <v>9</v>
      </c>
      <c r="C4" s="1">
        <v>-754.0</v>
      </c>
      <c r="D4" s="2" t="s">
        <v>8</v>
      </c>
    </row>
    <row r="5">
      <c r="A5" s="3">
        <f t="shared" si="1"/>
        <v>46021</v>
      </c>
      <c r="B5" s="1" t="s">
        <v>10</v>
      </c>
      <c r="C5" s="1">
        <v>-7244.0</v>
      </c>
      <c r="D5" s="2" t="s">
        <v>8</v>
      </c>
    </row>
    <row r="6">
      <c r="A6" s="3">
        <f t="shared" si="1"/>
        <v>46001</v>
      </c>
      <c r="B6" s="1" t="s">
        <v>10</v>
      </c>
      <c r="C6" s="1">
        <v>-1763.0</v>
      </c>
      <c r="D6" s="2" t="s">
        <v>8</v>
      </c>
    </row>
    <row r="7">
      <c r="A7" s="3">
        <f t="shared" si="1"/>
        <v>46018</v>
      </c>
      <c r="B7" s="1" t="s">
        <v>11</v>
      </c>
      <c r="C7" s="1">
        <v>-546.0</v>
      </c>
      <c r="D7" s="2" t="s">
        <v>8</v>
      </c>
    </row>
    <row r="8">
      <c r="A8" s="3">
        <f t="shared" si="1"/>
        <v>46022</v>
      </c>
      <c r="B8" s="1" t="s">
        <v>11</v>
      </c>
      <c r="C8" s="1">
        <v>-376.0</v>
      </c>
      <c r="D8" s="2" t="s">
        <v>8</v>
      </c>
    </row>
    <row r="9">
      <c r="A9" s="3">
        <f t="shared" si="1"/>
        <v>45999</v>
      </c>
      <c r="B9" s="1" t="s">
        <v>9</v>
      </c>
      <c r="C9" s="1">
        <v>-182.0</v>
      </c>
      <c r="D9" s="2" t="s">
        <v>8</v>
      </c>
    </row>
    <row r="10">
      <c r="A10" s="3">
        <f t="shared" si="1"/>
        <v>46004</v>
      </c>
      <c r="B10" s="1" t="s">
        <v>7</v>
      </c>
      <c r="C10" s="1">
        <v>-8237.0</v>
      </c>
      <c r="D10" s="2" t="s">
        <v>8</v>
      </c>
    </row>
    <row r="11">
      <c r="A11" s="3">
        <f t="shared" si="1"/>
        <v>46003</v>
      </c>
      <c r="B11" s="1" t="s">
        <v>10</v>
      </c>
      <c r="C11" s="1">
        <v>-7634.0</v>
      </c>
      <c r="D11" s="2" t="s">
        <v>8</v>
      </c>
    </row>
    <row r="12">
      <c r="A12" s="3">
        <f t="shared" si="1"/>
        <v>46027</v>
      </c>
      <c r="B12" s="1" t="s">
        <v>9</v>
      </c>
      <c r="C12" s="1">
        <v>-253.0</v>
      </c>
      <c r="D12" s="2" t="s">
        <v>8</v>
      </c>
    </row>
    <row r="13">
      <c r="A13" s="3">
        <f t="shared" si="1"/>
        <v>46014</v>
      </c>
      <c r="B13" s="1" t="s">
        <v>9</v>
      </c>
      <c r="C13" s="1">
        <v>-377.0</v>
      </c>
      <c r="D13" s="2" t="s">
        <v>8</v>
      </c>
    </row>
    <row r="14">
      <c r="A14" s="3">
        <f t="shared" si="1"/>
        <v>46015</v>
      </c>
      <c r="B14" s="1" t="s">
        <v>11</v>
      </c>
      <c r="C14" s="1">
        <v>-1828.0</v>
      </c>
      <c r="D14" s="2" t="s">
        <v>8</v>
      </c>
    </row>
    <row r="15">
      <c r="A15" s="3">
        <f t="shared" si="1"/>
        <v>45999</v>
      </c>
      <c r="B15" s="1" t="s">
        <v>7</v>
      </c>
      <c r="C15" s="1">
        <v>-347.0</v>
      </c>
      <c r="D15" s="2" t="s">
        <v>8</v>
      </c>
    </row>
    <row r="16">
      <c r="A16" s="3">
        <f t="shared" si="1"/>
        <v>46014</v>
      </c>
      <c r="B16" s="1" t="s">
        <v>5</v>
      </c>
      <c r="C16" s="1">
        <v>347.0</v>
      </c>
      <c r="D16" s="2" t="s">
        <v>6</v>
      </c>
    </row>
    <row r="17">
      <c r="A17" s="3">
        <f t="shared" si="1"/>
        <v>45997</v>
      </c>
      <c r="B17" s="1" t="s">
        <v>11</v>
      </c>
      <c r="C17" s="1">
        <v>-374.0</v>
      </c>
      <c r="D17" s="2" t="s">
        <v>8</v>
      </c>
    </row>
    <row r="18">
      <c r="A18" s="3">
        <f t="shared" si="1"/>
        <v>46003</v>
      </c>
      <c r="B18" s="1" t="s">
        <v>9</v>
      </c>
      <c r="C18" s="1">
        <v>-2998.0</v>
      </c>
      <c r="D18" s="2" t="s">
        <v>8</v>
      </c>
    </row>
    <row r="19">
      <c r="A19" s="3">
        <f t="shared" si="1"/>
        <v>46004</v>
      </c>
      <c r="B19" s="1" t="s">
        <v>11</v>
      </c>
      <c r="C19" s="1">
        <v>-7373.0</v>
      </c>
      <c r="D19" s="2" t="s">
        <v>8</v>
      </c>
    </row>
    <row r="20">
      <c r="A20" s="3">
        <f t="shared" si="1"/>
        <v>46013</v>
      </c>
      <c r="B20" s="1" t="s">
        <v>9</v>
      </c>
      <c r="C20" s="1">
        <v>-476.0</v>
      </c>
      <c r="D20" s="2" t="s">
        <v>8</v>
      </c>
    </row>
    <row r="21">
      <c r="A21" s="3">
        <f t="shared" si="1"/>
        <v>45999</v>
      </c>
      <c r="B21" s="1" t="s">
        <v>5</v>
      </c>
      <c r="C21" s="1">
        <v>1789.0</v>
      </c>
      <c r="D21" s="2" t="s">
        <v>6</v>
      </c>
    </row>
    <row r="22">
      <c r="A22" s="3">
        <f t="shared" si="1"/>
        <v>46007</v>
      </c>
      <c r="B22" s="1" t="s">
        <v>10</v>
      </c>
      <c r="C22" s="1">
        <v>-7374.0</v>
      </c>
      <c r="D22" s="2" t="s">
        <v>8</v>
      </c>
    </row>
    <row r="23">
      <c r="A23" s="3">
        <f t="shared" si="1"/>
        <v>46018</v>
      </c>
      <c r="B23" s="1" t="s">
        <v>10</v>
      </c>
      <c r="C23" s="1">
        <v>-477.0</v>
      </c>
      <c r="D23" s="2" t="s">
        <v>8</v>
      </c>
    </row>
    <row r="24">
      <c r="A24" s="3">
        <f t="shared" si="1"/>
        <v>46003</v>
      </c>
      <c r="B24" s="1" t="s">
        <v>9</v>
      </c>
      <c r="C24" s="1">
        <v>-2282.0</v>
      </c>
      <c r="D24" s="2" t="s">
        <v>8</v>
      </c>
    </row>
    <row r="25">
      <c r="A25" s="3">
        <f t="shared" si="1"/>
        <v>45999</v>
      </c>
      <c r="B25" s="1" t="s">
        <v>7</v>
      </c>
      <c r="C25" s="1">
        <v>-234.0</v>
      </c>
      <c r="D25" s="2" t="s">
        <v>8</v>
      </c>
    </row>
    <row r="26">
      <c r="A26" s="3">
        <f t="shared" si="1"/>
        <v>46010</v>
      </c>
      <c r="B26" s="1" t="s">
        <v>11</v>
      </c>
      <c r="C26" s="1">
        <v>-527.0</v>
      </c>
      <c r="D26" s="2" t="s">
        <v>8</v>
      </c>
    </row>
    <row r="27">
      <c r="A27" s="3">
        <f t="shared" si="1"/>
        <v>46004</v>
      </c>
      <c r="B27" s="1" t="s">
        <v>5</v>
      </c>
      <c r="C27" s="1">
        <v>144.0</v>
      </c>
      <c r="D27" s="2" t="s">
        <v>6</v>
      </c>
    </row>
    <row r="28">
      <c r="A28" s="3">
        <f t="shared" si="1"/>
        <v>46013</v>
      </c>
      <c r="B28" s="1" t="s">
        <v>7</v>
      </c>
      <c r="C28" s="1">
        <v>-1398.0</v>
      </c>
      <c r="D28" s="2" t="s">
        <v>8</v>
      </c>
    </row>
    <row r="29">
      <c r="A29" s="3">
        <f t="shared" si="1"/>
        <v>46020</v>
      </c>
      <c r="B29" s="1" t="s">
        <v>7</v>
      </c>
      <c r="C29" s="1">
        <v>-257.0</v>
      </c>
      <c r="D29" s="2" t="s">
        <v>8</v>
      </c>
    </row>
    <row r="30">
      <c r="A30" s="3">
        <f t="shared" si="1"/>
        <v>46016</v>
      </c>
      <c r="B30" s="1" t="s">
        <v>10</v>
      </c>
      <c r="C30" s="1">
        <v>-73.0</v>
      </c>
      <c r="D30" s="2" t="s">
        <v>8</v>
      </c>
    </row>
    <row r="31">
      <c r="A31" s="3">
        <f t="shared" si="1"/>
        <v>46025</v>
      </c>
      <c r="B31" s="1" t="s">
        <v>11</v>
      </c>
      <c r="C31" s="1">
        <v>-364.0</v>
      </c>
      <c r="D31" s="2" t="s">
        <v>8</v>
      </c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conditionalFormatting sqref="D1:D1000">
    <cfRule type="notContainsBlanks" dxfId="0" priority="1">
      <formula>LEN(TRIM(D1))&gt;0</formula>
    </cfRule>
  </conditionalFormatting>
  <conditionalFormatting sqref="D1:D1000">
    <cfRule type="notContainsBlanks" dxfId="0" priority="2">
      <formula>LEN(TRIM(D1))&gt;0</formula>
    </cfRule>
  </conditionalFormatting>
  <dataValidations>
    <dataValidation type="list" allowBlank="1" showErrorMessage="1" sqref="B2:B31">
      <formula1>"Еда,Транспорт,Инвестиции,Покупки,Онлайн-покупки"</formula1>
    </dataValidation>
    <dataValidation type="list" allowBlank="1" showErrorMessage="1" sqref="D2:D31">
      <formula1>"Расход,Доход"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 t="s">
        <v>14</v>
      </c>
      <c r="B1" s="5">
        <f>SUM('транзакции'!C:C)  </f>
        <v>-51785</v>
      </c>
    </row>
    <row r="2">
      <c r="A2" s="1" t="s">
        <v>15</v>
      </c>
      <c r="B2" s="5">
        <f>SUMIF('транзакции'!C:C,"&lt;0")</f>
        <v>-54200</v>
      </c>
    </row>
    <row r="3">
      <c r="A3" s="1" t="s">
        <v>16</v>
      </c>
      <c r="B3" s="1">
        <f>SUMIF('транзакции'!C:C,"&gt;0")</f>
        <v>2415</v>
      </c>
    </row>
    <row r="4">
      <c r="A4" s="1" t="s">
        <v>17</v>
      </c>
      <c r="B4" s="5" t="str">
        <f t="array" ref="B4">INDEX('сводки'!A:A,MATCH(MAX('сводки'!B:B),'сводки'!B:B,0))</f>
        <v>Инвестиции</v>
      </c>
    </row>
    <row r="5">
      <c r="A5" s="1" t="s">
        <v>18</v>
      </c>
      <c r="B5" s="5">
        <f t="array" ref="B5">ABS(INDEX('сводки'!B:B,MATCH(MAX('сводки'!B:B),'сводки'!B:B,0)))/ABS(B2)</f>
        <v>0.04455719557</v>
      </c>
    </row>
  </sheetData>
  <drawing r:id="rId1"/>
</worksheet>
</file>